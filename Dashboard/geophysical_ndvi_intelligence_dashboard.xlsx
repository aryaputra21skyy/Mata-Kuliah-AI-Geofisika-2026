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ovinsi_2024" sheetId="2" state="visible" r:id="rId2"/>
    <sheet xmlns:r="http://schemas.openxmlformats.org/officeDocument/2006/relationships" name="Sulsel_2018_2024" sheetId="3" state="visible" r:id="rId3"/>
    <sheet xmlns:r="http://schemas.openxmlformats.org/officeDocument/2006/relationships" name="Panduan_Data" sheetId="4" state="visible" r:id="rId4"/>
    <sheet xmlns:r="http://schemas.openxmlformats.org/officeDocument/2006/relationships" name="Sumber" sheetId="5" state="visible" r:id="rId5"/>
    <sheet xmlns:r="http://schemas.openxmlformats.org/officeDocument/2006/relationships" name="Koordinat_Peta" sheetId="6" state="visible" r:id="rId6"/>
  </sheets>
  <definedNames>
    <definedName name="_xlnm._FilterDatabase" localSheetId="1" hidden="1">'Provinsi_2024'!$A$1:$G$35</definedName>
    <definedName name="_xlnm._FilterDatabase" localSheetId="5" hidden="1">'Koordinat_Peta'!$A$1:$G$35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#,##0.0"/>
    <numFmt numFmtId="167" formatCode="0.0000"/>
  </numFmts>
  <fonts count="15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26354A"/>
      <sz val="10"/>
    </font>
    <font>
      <name val="Aptos Display"/>
      <b val="1"/>
      <color rgb="00FFFFFF"/>
      <sz val="20"/>
    </font>
    <font>
      <name val="Aptos"/>
      <i val="1"/>
      <color rgb="0053647A"/>
      <sz val="10"/>
    </font>
    <font>
      <name val="Aptos"/>
      <b val="1"/>
      <color rgb="00B6C7DD"/>
      <sz val="10"/>
    </font>
    <font>
      <name val="Aptos Display"/>
      <b val="1"/>
      <color rgb="0044E0C1"/>
      <sz val="22"/>
    </font>
    <font>
      <name val="Aptos Display"/>
      <b val="1"/>
      <color rgb="007194FF"/>
      <sz val="22"/>
    </font>
    <font>
      <name val="Aptos Display"/>
      <b val="1"/>
      <color rgb="00B29AFF"/>
      <sz val="22"/>
    </font>
    <font>
      <name val="Aptos Display"/>
      <b val="1"/>
      <color rgb="00FFC76B"/>
      <sz val="22"/>
    </font>
    <font>
      <b val="1"/>
      <color rgb="00FFFFFF"/>
    </font>
    <font>
      <name val="Aptos Display"/>
      <b val="1"/>
      <color rgb="0044E0C1"/>
      <sz val="15"/>
    </font>
    <font>
      <b val="1"/>
      <color rgb="00FFFFFF"/>
      <sz val="12"/>
    </font>
    <font>
      <i val="1"/>
      <color rgb="007B8CA5"/>
      <sz val="9"/>
    </font>
    <font>
      <name val="Aptos"/>
      <b val="1"/>
      <color rgb="001A6B67"/>
      <sz val="10"/>
    </font>
  </fonts>
  <fills count="8">
    <fill>
      <patternFill/>
    </fill>
    <fill>
      <patternFill patternType="gray125"/>
    </fill>
    <fill>
      <patternFill patternType="solid">
        <fgColor rgb="001A2740"/>
      </patternFill>
    </fill>
    <fill>
      <patternFill patternType="solid">
        <fgColor rgb="00F4F7FB"/>
      </patternFill>
    </fill>
    <fill>
      <patternFill patternType="solid">
        <fgColor rgb="00111A2B"/>
      </patternFill>
    </fill>
    <fill>
      <patternFill patternType="solid">
        <fgColor rgb="00F0F5F8"/>
      </patternFill>
    </fill>
    <fill>
      <patternFill patternType="solid">
        <fgColor rgb="00FFFFFF"/>
      </patternFill>
    </fill>
    <fill>
      <patternFill patternType="solid">
        <fgColor rgb="00E6F8F4"/>
      </patternFill>
    </fill>
  </fills>
  <borders count="2">
    <border>
      <left/>
      <right/>
      <top/>
      <bottom/>
      <diagonal/>
    </border>
    <border>
      <bottom style="hair">
        <color rgb="00E0E7F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3" fillId="4" borderId="0" applyAlignment="1" pivotButton="0" quotePrefix="0" xfId="0">
      <alignment vertical="center"/>
    </xf>
    <xf numFmtId="0" fontId="0" fillId="4" borderId="0" pivotButton="0" quotePrefix="0" xfId="0"/>
    <xf numFmtId="0" fontId="10" fillId="2" borderId="0" pivotButton="0" quotePrefix="0" xfId="0"/>
    <xf numFmtId="0" fontId="4" fillId="0" borderId="0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0" fillId="2" borderId="0" applyAlignment="1" pivotButton="0" quotePrefix="0" xfId="0">
      <alignment horizontal="center"/>
    </xf>
    <xf numFmtId="164" fontId="6" fillId="5" borderId="0" applyAlignment="1" pivotButton="0" quotePrefix="0" xfId="0">
      <alignment horizontal="center" vertical="center"/>
    </xf>
    <xf numFmtId="0" fontId="0" fillId="5" borderId="0" pivotButton="0" quotePrefix="0" xfId="0"/>
    <xf numFmtId="165" fontId="7" fillId="5" borderId="0" applyAlignment="1" pivotButton="0" quotePrefix="0" xfId="0">
      <alignment horizontal="center" vertical="center"/>
    </xf>
    <xf numFmtId="3" fontId="8" fillId="5" borderId="0" applyAlignment="1" pivotButton="0" quotePrefix="0" xfId="0">
      <alignment horizontal="center" vertical="center"/>
    </xf>
    <xf numFmtId="1" fontId="9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 wrapText="1"/>
    </xf>
    <xf numFmtId="0" fontId="12" fillId="4" borderId="0" pivotButton="0" quotePrefix="0" xfId="0"/>
    <xf numFmtId="0" fontId="2" fillId="3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1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6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2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2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6" fillId="5" borderId="0" applyAlignment="1" pivotButton="0" quotePrefix="0" xfId="0">
      <alignment horizontal="center" vertical="center"/>
    </xf>
    <xf numFmtId="165" fontId="7" fillId="5" borderId="0" applyAlignment="1" pivotButton="0" quotePrefix="0" xfId="0">
      <alignment horizontal="center" vertical="center"/>
    </xf>
    <xf numFmtId="0" fontId="14" fillId="7" borderId="0" applyAlignment="1" pivotButton="0" quotePrefix="0" xfId="0">
      <alignment vertical="center" wrapText="1"/>
    </xf>
    <xf numFmtId="166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2" fillId="3" borderId="0" applyAlignment="1" pivotButton="0" quotePrefix="0" xfId="0">
      <alignment vertical="top"/>
    </xf>
    <xf numFmtId="167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167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South Sulawesi · NDVI trend (2018–2024)</a:t>
            </a:r>
          </a:p>
        </rich>
      </tx>
    </title>
    <plotArea>
      <lineChart>
        <grouping val="standard"/>
        <ser>
          <idx val="0"/>
          <order val="0"/>
          <tx>
            <strRef>
              <f>'Sulsel_2018_2024'!D1</f>
            </strRef>
          </tx>
          <spPr>
            <a:solidFill xmlns:a="http://schemas.openxmlformats.org/drawingml/2006/main">
              <a:srgbClr val="20A997"/>
            </a:solidFill>
            <a:ln xmlns:a="http://schemas.openxmlformats.org/drawingml/2006/main" w="26000">
              <a:solidFill>
                <a:srgbClr val="20A9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'Sulsel_2018_2024'!$B$2:$B$8</f>
            </numRef>
          </cat>
          <val>
            <numRef>
              <f>'Sulsel_2018_2024'!$D$2:$D$8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NDVI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provinces · NDVI 2024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'Dashboard'!Q1</f>
            </strRef>
          </tx>
          <spPr>
            <a:solidFill xmlns:a="http://schemas.openxmlformats.org/drawingml/2006/main">
              <a:srgbClr val="7194FF"/>
            </a:solidFill>
            <a:ln xmlns:a="http://schemas.openxmlformats.org/drawingml/2006/main">
              <a:solidFill>
                <a:srgbClr val="7194FF"/>
              </a:solidFill>
              <a:prstDash val="solid"/>
            </a:ln>
          </spPr>
          <cat>
            <numRef>
              <f>'Dashboard'!$P$2:$P$11</f>
            </numRef>
          </cat>
          <val>
            <numRef>
              <f>'Dashboard'!$Q$2:$Q$11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NDVI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Province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Rainfall vs NDVI · 2024</a:t>
            </a:r>
          </a:p>
        </rich>
      </tx>
    </title>
    <plotArea>
      <scatterChart>
        <ser>
          <idx val="0"/>
          <order val="0"/>
          <tx>
            <v>Province records</v>
          </tx>
          <spPr>
            <a:solidFill xmlns:a="http://schemas.openxmlformats.org/drawingml/2006/main">
              <a:srgbClr val="44E0C1"/>
            </a:solidFill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'Provinsi_2024'!$C$2:$C$35</f>
            </numRef>
          </xVal>
          <yVal>
            <numRef>
              <f>'Provinsi_2024'!$D$2:$D$35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Rainfall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NDVI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LST vs NDVI · 2024</a:t>
            </a:r>
          </a:p>
        </rich>
      </tx>
    </title>
    <plotArea>
      <scatterChart>
        <ser>
          <idx val="0"/>
          <order val="0"/>
          <tx>
            <v>Province records</v>
          </tx>
          <spPr>
            <a:solidFill xmlns:a="http://schemas.openxmlformats.org/drawingml/2006/main">
              <a:srgbClr val="B29AFF"/>
            </a:solidFill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'Provinsi_2024'!$E$2:$E$35</f>
            </numRef>
          </xVal>
          <yVal>
            <numRef>
              <f>'Provinsi_2024'!$D$2:$D$35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LST (°C)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NDVI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4824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15</row>
      <rowOff>0</rowOff>
    </from>
    <ext cx="4824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4824000" cy="259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30</row>
      <rowOff>0</rowOff>
    </from>
    <ext cx="4824000" cy="2592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4E0C1"/>
    <outlinePr summaryBelow="1" summaryRight="1"/>
    <pageSetUpPr fitToPage="1"/>
  </sheetPr>
  <dimension ref="A1:Q16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2" customWidth="1" min="14" max="14"/>
    <col width="25" customWidth="1" min="16" max="16"/>
    <col width="14" customWidth="1" min="17" max="17"/>
  </cols>
  <sheetData>
    <row r="1" ht="28" customHeight="1">
      <c r="A1" s="1" t="inlineStr">
        <is>
          <t>GEONDVI INTELLIGENCE  |  SATELLITE &amp; CLIMATE DASHBOARD</t>
        </is>
      </c>
      <c r="P1" s="3" t="inlineStr">
        <is>
          <t>Province</t>
        </is>
      </c>
      <c r="Q1" s="3" t="inlineStr">
        <is>
          <t>NDVI</t>
        </is>
      </c>
    </row>
    <row r="2" ht="24" customHeight="1">
      <c r="P2" t="inlineStr">
        <is>
          <t>Bengkulu</t>
        </is>
      </c>
      <c r="Q2" t="n">
        <v>0.7841348189761738</v>
      </c>
    </row>
    <row r="3">
      <c r="A3" s="4" t="inlineStr">
        <is>
          <t>Indonesia · 34 province snapshot (2024) | South Sulawesi annual trend (2018–2024) | NDVI + hydroclimate context</t>
        </is>
      </c>
      <c r="P3" t="inlineStr">
        <is>
          <t>Sulawesi Barat</t>
        </is>
      </c>
      <c r="Q3" t="n">
        <v>0.7824239042299619</v>
      </c>
    </row>
    <row r="4">
      <c r="P4" t="inlineStr">
        <is>
          <t>Aceh</t>
        </is>
      </c>
      <c r="Q4" t="n">
        <v>0.7624466859878303</v>
      </c>
    </row>
    <row r="5" ht="24" customHeight="1">
      <c r="A5" s="5" t="inlineStr">
        <is>
          <t>MEAN NDVI</t>
        </is>
      </c>
      <c r="D5" s="5" t="inlineStr">
        <is>
          <t>MEAN LST (°C)</t>
        </is>
      </c>
      <c r="G5" s="5" t="inlineStr">
        <is>
          <t>MEAN RAINFALL (mm)</t>
        </is>
      </c>
      <c r="J5" s="5" t="inlineStr">
        <is>
          <t>PROVINCES</t>
        </is>
      </c>
      <c r="M5" s="7" t="inlineStr">
        <is>
          <t>TOP NDVI · 2024</t>
        </is>
      </c>
      <c r="P5" t="inlineStr">
        <is>
          <t>Sulawesi Utara</t>
        </is>
      </c>
      <c r="Q5" t="n">
        <v>0.7594566910219366</v>
      </c>
    </row>
    <row r="6" ht="26" customHeight="1">
      <c r="A6" s="29" t="n">
        <v>0.6800886164687072</v>
      </c>
      <c r="D6" s="30" t="n">
        <v>27.41550289075805</v>
      </c>
      <c r="G6" s="11" t="n">
        <v>2868.257952118705</v>
      </c>
      <c r="J6" s="12" t="n">
        <v>34</v>
      </c>
      <c r="M6" s="13" t="inlineStr">
        <is>
          <t>Bengkulu
0.784</t>
        </is>
      </c>
      <c r="P6" t="inlineStr">
        <is>
          <t>Gorontalo</t>
        </is>
      </c>
      <c r="Q6" t="n">
        <v>0.7502872112321251</v>
      </c>
    </row>
    <row r="7" ht="26" customHeight="1">
      <c r="P7" t="inlineStr">
        <is>
          <t>Maluku Utara</t>
        </is>
      </c>
      <c r="Q7" t="n">
        <v>0.7344694709411748</v>
      </c>
    </row>
    <row r="8">
      <c r="P8" t="inlineStr">
        <is>
          <t>Sulawesi Tengah</t>
        </is>
      </c>
      <c r="Q8" t="n">
        <v>0.7246867464203008</v>
      </c>
    </row>
    <row r="9">
      <c r="A9" s="14" t="inlineStr">
        <is>
          <t>EXECUTIVE READOUT</t>
        </is>
      </c>
      <c r="P9" t="inlineStr">
        <is>
          <t>Maluku</t>
        </is>
      </c>
      <c r="Q9" t="n">
        <v>0.7176074948073549</v>
      </c>
    </row>
    <row r="10" ht="24" customHeight="1">
      <c r="A10" s="15" t="inlineStr">
        <is>
          <t>• Mean NDVI across the 34 province records in 2024: 0.680.</t>
        </is>
      </c>
      <c r="P10" t="inlineStr">
        <is>
          <t>Sumatera Utara</t>
        </is>
      </c>
      <c r="Q10" t="n">
        <v>0.7162451791456326</v>
      </c>
    </row>
    <row r="11" ht="24" customHeight="1">
      <c r="A11" s="16" t="inlineStr">
        <is>
          <t>• Highest NDVI in this extract: Bengkulu (0.784); lowest: Jakarta Raya (0.282).</t>
        </is>
      </c>
      <c r="P11" t="inlineStr">
        <is>
          <t>Sulawesi Tenggara</t>
        </is>
      </c>
      <c r="Q11" t="n">
        <v>0.7150214503272923</v>
      </c>
    </row>
    <row r="12" ht="24" customHeight="1">
      <c r="A12" s="15" t="inlineStr">
        <is>
          <t>• South Sulawesi NDVI: 0.652 (2018) → 0.661 (2024); change +0.009.</t>
        </is>
      </c>
    </row>
    <row r="13" ht="24" customHeight="1">
      <c r="A13" s="16" t="inlineStr">
        <is>
          <t>• Interpret NDVI alongside land cover, seasonal timing, cloud/quality masks and spatial resolution. Provincial averages hide local differences.</t>
        </is>
      </c>
    </row>
    <row r="14" ht="24" customHeight="1">
      <c r="A14" s="15" t="inlineStr">
        <is>
          <t>• These are annual province-level aggregates from the cited repository extract, not pixel-level raster observations.</t>
        </is>
      </c>
      <c r="P14" s="17" t="inlineStr">
        <is>
          <t>Chart helper data →</t>
        </is>
      </c>
    </row>
    <row r="16" ht="34" customHeight="1">
      <c r="A16" s="31" t="inlineStr">
        <is>
          <t>PETA INTERAKTIF: buka file HTML GeoNDVI Intelligence untuk basemap street/satellite/terrain. Sheet Koordinat_Peta berisi titik representatif provinsi untuk konteks geografis, bukan poligon batas administrasi.</t>
        </is>
      </c>
    </row>
  </sheetData>
  <mergeCells count="19">
    <mergeCell ref="A9:N9"/>
    <mergeCell ref="M6:N7"/>
    <mergeCell ref="M5:N5"/>
    <mergeCell ref="A11:N11"/>
    <mergeCell ref="D6:F7"/>
    <mergeCell ref="A5:C5"/>
    <mergeCell ref="G5:I5"/>
    <mergeCell ref="A16:N16"/>
    <mergeCell ref="A6:C7"/>
    <mergeCell ref="A3:N3"/>
    <mergeCell ref="J6:L7"/>
    <mergeCell ref="D5:F5"/>
    <mergeCell ref="A12:N12"/>
    <mergeCell ref="A14:N14"/>
    <mergeCell ref="A1:N2"/>
    <mergeCell ref="J5:L5"/>
    <mergeCell ref="G6:I7"/>
    <mergeCell ref="A10:N10"/>
    <mergeCell ref="A13:N13"/>
  </mergeCells>
  <pageMargins left="0.75" right="0.75" top="1" bottom="1" header="0.5" footer="0.5"/>
  <pageSetup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7194FF"/>
    <outlinePr summaryBelow="1" summaryRight="1"/>
    <pageSetUpPr fitToPage="1"/>
  </sheetPr>
  <dimension ref="A1:G3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 ht="32" customHeight="1">
      <c r="A1" s="18" t="inlineStr">
        <is>
          <t>Provinsi</t>
        </is>
      </c>
      <c r="B1" s="18" t="inlineStr">
        <is>
          <t>Tahun</t>
        </is>
      </c>
      <c r="C1" s="18" t="inlineStr">
        <is>
          <t>Curah Hujan (mm/tahun)</t>
        </is>
      </c>
      <c r="D1" s="18" t="inlineStr">
        <is>
          <t>NDVI</t>
        </is>
      </c>
      <c r="E1" s="18" t="inlineStr">
        <is>
          <t>LST (°C)</t>
        </is>
      </c>
      <c r="F1" s="18" t="inlineStr">
        <is>
          <t>PDSI</t>
        </is>
      </c>
      <c r="G1" s="18" t="inlineStr">
        <is>
          <t>Kelembapan Tanah</t>
        </is>
      </c>
    </row>
    <row r="2">
      <c r="A2" s="19" t="inlineStr">
        <is>
          <t>Aceh</t>
        </is>
      </c>
      <c r="B2" s="19" t="n">
        <v>2024</v>
      </c>
      <c r="C2" s="32" t="n">
        <v>2592.757490939664</v>
      </c>
      <c r="D2" s="33" t="n">
        <v>0.7624466859878303</v>
      </c>
      <c r="E2" s="22" t="n">
        <v>25.95916245150653</v>
      </c>
      <c r="F2" s="22" t="n">
        <v>2.097569290984895</v>
      </c>
      <c r="G2" s="33" t="n">
        <v>0.3423059101636583</v>
      </c>
    </row>
    <row r="3">
      <c r="A3" s="23" t="inlineStr">
        <is>
          <t>Bali</t>
        </is>
      </c>
      <c r="B3" s="23" t="n">
        <v>2024</v>
      </c>
      <c r="C3" s="34" t="n">
        <v>2117.334011032215</v>
      </c>
      <c r="D3" s="35" t="n">
        <v>0.6899347295942274</v>
      </c>
      <c r="E3" s="26" t="n">
        <v>26.89410839314916</v>
      </c>
      <c r="F3" s="26" t="n">
        <v>-2.217850515844453</v>
      </c>
      <c r="G3" s="35" t="n">
        <v>0.1910412468677995</v>
      </c>
    </row>
    <row r="4">
      <c r="A4" s="19" t="inlineStr">
        <is>
          <t>Bangka Belitung</t>
        </is>
      </c>
      <c r="B4" s="19" t="n">
        <v>2024</v>
      </c>
      <c r="C4" s="32" t="n">
        <v>3277.803622228236</v>
      </c>
      <c r="D4" s="33" t="n">
        <v>0.6408696231377333</v>
      </c>
      <c r="E4" s="22" t="n">
        <v>28.65653192637551</v>
      </c>
      <c r="F4" s="22" t="n">
        <v>-1.320390633189078</v>
      </c>
      <c r="G4" s="33" t="n">
        <v>0.2942851569123468</v>
      </c>
    </row>
    <row r="5">
      <c r="A5" s="23" t="inlineStr">
        <is>
          <t>Banten</t>
        </is>
      </c>
      <c r="B5" s="23" t="n">
        <v>2024</v>
      </c>
      <c r="C5" s="34" t="n">
        <v>3563.2210210252</v>
      </c>
      <c r="D5" s="35" t="n">
        <v>0.6391132232510925</v>
      </c>
      <c r="E5" s="26" t="n">
        <v>28.92289129755768</v>
      </c>
      <c r="F5" s="26" t="n">
        <v>-2.87280812166406</v>
      </c>
      <c r="G5" s="35" t="n">
        <v>0.3169884513831464</v>
      </c>
    </row>
    <row r="6">
      <c r="A6" s="19" t="inlineStr">
        <is>
          <t>Bengkulu</t>
        </is>
      </c>
      <c r="B6" s="19" t="n">
        <v>2024</v>
      </c>
      <c r="C6" s="32" t="n">
        <v>3001.484959888292</v>
      </c>
      <c r="D6" s="33" t="n">
        <v>0.7841348189761738</v>
      </c>
      <c r="E6" s="22" t="n">
        <v>26.80760234051049</v>
      </c>
      <c r="F6" s="22" t="n">
        <v>1.336397263497014</v>
      </c>
      <c r="G6" s="33" t="n">
        <v>0.2967244498838922</v>
      </c>
    </row>
    <row r="7">
      <c r="A7" s="23" t="inlineStr">
        <is>
          <t>Gorontalo</t>
        </is>
      </c>
      <c r="B7" s="23" t="n">
        <v>2024</v>
      </c>
      <c r="C7" s="34" t="n">
        <v>1925.058821420152</v>
      </c>
      <c r="D7" s="35" t="n">
        <v>0.7502872112321251</v>
      </c>
      <c r="E7" s="26" t="n">
        <v>26.92830901090897</v>
      </c>
      <c r="F7" s="26" t="n">
        <v>0.5240677032818651</v>
      </c>
      <c r="G7" s="35" t="n">
        <v>0.2447913629892001</v>
      </c>
    </row>
    <row r="8">
      <c r="A8" s="19" t="inlineStr">
        <is>
          <t>Jakarta Raya</t>
        </is>
      </c>
      <c r="B8" s="19" t="n">
        <v>2024</v>
      </c>
      <c r="C8" s="32" t="n">
        <v>2119.011898737192</v>
      </c>
      <c r="D8" s="33" t="n">
        <v>0.2816207441033748</v>
      </c>
      <c r="E8" s="22" t="n">
        <v>36.19350134256821</v>
      </c>
      <c r="F8" s="22" t="n">
        <v>-3.344457734100351</v>
      </c>
      <c r="G8" s="33" t="n">
        <v>0.3731186221087322</v>
      </c>
    </row>
    <row r="9">
      <c r="A9" s="23" t="inlineStr">
        <is>
          <t>Jambi</t>
        </is>
      </c>
      <c r="B9" s="23" t="n">
        <v>2024</v>
      </c>
      <c r="C9" s="34" t="n">
        <v>2757.210557000946</v>
      </c>
      <c r="D9" s="35" t="n">
        <v>0.6620071434667998</v>
      </c>
      <c r="E9" s="26" t="n">
        <v>27.42339701236881</v>
      </c>
      <c r="F9" s="26" t="n">
        <v>0.6183597385046865</v>
      </c>
      <c r="G9" s="35" t="n">
        <v>0.3856788237818048</v>
      </c>
    </row>
    <row r="10">
      <c r="A10" s="19" t="inlineStr">
        <is>
          <t>Jawa Barat</t>
        </is>
      </c>
      <c r="B10" s="19" t="n">
        <v>2024</v>
      </c>
      <c r="C10" s="32" t="n">
        <v>3014.105254052957</v>
      </c>
      <c r="D10" s="33" t="n">
        <v>0.6489680840440657</v>
      </c>
      <c r="E10" s="22" t="n">
        <v>28.27891711481088</v>
      </c>
      <c r="F10" s="22" t="n">
        <v>-2.113173930241825</v>
      </c>
      <c r="G10" s="33" t="n">
        <v>0.3284406489617656</v>
      </c>
    </row>
    <row r="11">
      <c r="A11" s="23" t="inlineStr">
        <is>
          <t>Jawa Tengah</t>
        </is>
      </c>
      <c r="B11" s="23" t="n">
        <v>2024</v>
      </c>
      <c r="C11" s="34" t="n">
        <v>2789.775660000486</v>
      </c>
      <c r="D11" s="35" t="n">
        <v>0.6361287975957369</v>
      </c>
      <c r="E11" s="26" t="n">
        <v>29.12150928966115</v>
      </c>
      <c r="F11" s="26" t="n">
        <v>-2.797935649760895</v>
      </c>
      <c r="G11" s="35" t="n">
        <v>0.3274477497173239</v>
      </c>
    </row>
    <row r="12">
      <c r="A12" s="19" t="inlineStr">
        <is>
          <t>Jawa Timur</t>
        </is>
      </c>
      <c r="B12" s="19" t="n">
        <v>2024</v>
      </c>
      <c r="C12" s="32" t="n">
        <v>2087.73841114106</v>
      </c>
      <c r="D12" s="33" t="n">
        <v>0.6446196594999316</v>
      </c>
      <c r="E12" s="22" t="n">
        <v>29.43046223119697</v>
      </c>
      <c r="F12" s="22" t="n">
        <v>-2.962640388050992</v>
      </c>
      <c r="G12" s="33" t="n">
        <v>0.2758710102778671</v>
      </c>
    </row>
    <row r="13">
      <c r="A13" s="23" t="inlineStr">
        <is>
          <t>Kalimantan Barat</t>
        </is>
      </c>
      <c r="B13" s="23" t="n">
        <v>2024</v>
      </c>
      <c r="C13" s="34" t="n">
        <v>3953.363909208337</v>
      </c>
      <c r="D13" s="35" t="n">
        <v>0.7056004991252147</v>
      </c>
      <c r="E13" s="26" t="n">
        <v>27.30298762001427</v>
      </c>
      <c r="F13" s="26" t="n">
        <v>3.865215006564902</v>
      </c>
      <c r="G13" s="35" t="n">
        <v>0.4081723982793112</v>
      </c>
    </row>
    <row r="14">
      <c r="A14" s="19" t="inlineStr">
        <is>
          <t>Kalimantan Selatan</t>
        </is>
      </c>
      <c r="B14" s="19" t="n">
        <v>2024</v>
      </c>
      <c r="C14" s="32" t="n">
        <v>2889.629820174295</v>
      </c>
      <c r="D14" s="33" t="n">
        <v>0.6966051619361807</v>
      </c>
      <c r="E14" s="22" t="n">
        <v>27.98336267160609</v>
      </c>
      <c r="F14" s="22" t="n">
        <v>-0.0999130236261687</v>
      </c>
      <c r="G14" s="33" t="n">
        <v>0.377320531660028</v>
      </c>
    </row>
    <row r="15">
      <c r="A15" s="23" t="inlineStr">
        <is>
          <t>Kalimantan Tengah</t>
        </is>
      </c>
      <c r="B15" s="23" t="n">
        <v>2024</v>
      </c>
      <c r="C15" s="34" t="n">
        <v>3452.024565634056</v>
      </c>
      <c r="D15" s="35" t="n">
        <v>0.6810924369888623</v>
      </c>
      <c r="E15" s="26" t="n">
        <v>26.96659352469426</v>
      </c>
      <c r="F15" s="26" t="n">
        <v>2.366652641325991</v>
      </c>
      <c r="G15" s="35" t="n">
        <v>0.4063084296891815</v>
      </c>
    </row>
    <row r="16">
      <c r="A16" s="19" t="inlineStr">
        <is>
          <t>Kalimantan Timur</t>
        </is>
      </c>
      <c r="B16" s="19" t="n">
        <v>2024</v>
      </c>
      <c r="C16" s="32" t="n">
        <v>2880.267186028838</v>
      </c>
      <c r="D16" s="33" t="n">
        <v>0.6805386720059775</v>
      </c>
      <c r="E16" s="22" t="n">
        <v>26.61843882228997</v>
      </c>
      <c r="F16" s="22" t="n">
        <v>-0.0999093877602296</v>
      </c>
      <c r="G16" s="33" t="n">
        <v>0.3202570426908102</v>
      </c>
    </row>
    <row r="17">
      <c r="A17" s="23" t="inlineStr">
        <is>
          <t>Kalimantan Utara</t>
        </is>
      </c>
      <c r="B17" s="23" t="n">
        <v>2024</v>
      </c>
      <c r="C17" s="34" t="n">
        <v>3525.673129384</v>
      </c>
      <c r="D17" s="35" t="n">
        <v>0.6769453331529955</v>
      </c>
      <c r="E17" s="26" t="n">
        <v>24.24901288017972</v>
      </c>
      <c r="F17" s="26" t="n">
        <v>2.806075534576774</v>
      </c>
      <c r="G17" s="35" t="n">
        <v>0.3839130448430783</v>
      </c>
    </row>
    <row r="18">
      <c r="A18" s="19" t="inlineStr">
        <is>
          <t>Kepulauan Riau</t>
        </is>
      </c>
      <c r="B18" s="19" t="n">
        <v>2024</v>
      </c>
      <c r="C18" s="32" t="n">
        <v>2861.83640305928</v>
      </c>
      <c r="D18" s="33" t="n">
        <v>0.6130268088480181</v>
      </c>
      <c r="E18" s="22" t="n">
        <v>27.77801139628868</v>
      </c>
      <c r="F18" s="22" t="n">
        <v>3.15935477480286</v>
      </c>
      <c r="G18" s="33" t="n">
        <v>0.2430669026411941</v>
      </c>
    </row>
    <row r="19">
      <c r="A19" s="23" t="inlineStr">
        <is>
          <t>Lampung</t>
        </is>
      </c>
      <c r="B19" s="23" t="n">
        <v>2024</v>
      </c>
      <c r="C19" s="34" t="n">
        <v>2968.277637051327</v>
      </c>
      <c r="D19" s="35" t="n">
        <v>0.6589634326529771</v>
      </c>
      <c r="E19" s="26" t="n">
        <v>29.02169777108838</v>
      </c>
      <c r="F19" s="26" t="n">
        <v>-2.439135454334184</v>
      </c>
      <c r="G19" s="35" t="n">
        <v>0.2874673685007872</v>
      </c>
    </row>
    <row r="20">
      <c r="A20" s="19" t="inlineStr">
        <is>
          <t>Maluku</t>
        </is>
      </c>
      <c r="B20" s="19" t="n">
        <v>2024</v>
      </c>
      <c r="C20" s="32" t="n">
        <v>3160.958577433278</v>
      </c>
      <c r="D20" s="33" t="n">
        <v>0.7176074948073549</v>
      </c>
      <c r="E20" s="22" t="n">
        <v>26.02133271614897</v>
      </c>
      <c r="F20" s="22" t="n">
        <v>-0.6013268954477176</v>
      </c>
      <c r="G20" s="33" t="n">
        <v>0.316086643564234</v>
      </c>
    </row>
    <row r="21">
      <c r="A21" s="23" t="inlineStr">
        <is>
          <t>Maluku Utara</t>
        </is>
      </c>
      <c r="B21" s="23" t="n">
        <v>2024</v>
      </c>
      <c r="C21" s="34" t="n">
        <v>2882.84386321085</v>
      </c>
      <c r="D21" s="35" t="n">
        <v>0.7344694709411748</v>
      </c>
      <c r="E21" s="26" t="n">
        <v>26.1020265372006</v>
      </c>
      <c r="F21" s="26" t="n">
        <v>0.6597568425490548</v>
      </c>
      <c r="G21" s="35" t="n">
        <v>0.2757716668108509</v>
      </c>
    </row>
    <row r="22">
      <c r="A22" s="19" t="inlineStr">
        <is>
          <t>Nusa Tenggara Barat</t>
        </is>
      </c>
      <c r="B22" s="19" t="n">
        <v>2024</v>
      </c>
      <c r="C22" s="32" t="n">
        <v>1945.880330259652</v>
      </c>
      <c r="D22" s="33" t="n">
        <v>0.6773561958124985</v>
      </c>
      <c r="E22" s="22" t="n">
        <v>28.21008953883046</v>
      </c>
      <c r="F22" s="22" t="n">
        <v>-3.605660857467818</v>
      </c>
      <c r="G22" s="33" t="n">
        <v>0.2333674902358926</v>
      </c>
    </row>
    <row r="23">
      <c r="A23" s="23" t="inlineStr">
        <is>
          <t>Nusa Tenggara Timur</t>
        </is>
      </c>
      <c r="B23" s="23" t="n">
        <v>2024</v>
      </c>
      <c r="C23" s="34" t="n">
        <v>1791.5484556808</v>
      </c>
      <c r="D23" s="35" t="n">
        <v>0.7009666371707365</v>
      </c>
      <c r="E23" s="26" t="n">
        <v>28.12290228278479</v>
      </c>
      <c r="F23" s="26" t="n">
        <v>-0.8698096089314973</v>
      </c>
      <c r="G23" s="35" t="n">
        <v>0.266855668167733</v>
      </c>
    </row>
    <row r="24">
      <c r="A24" s="19" t="inlineStr">
        <is>
          <t>Papua</t>
        </is>
      </c>
      <c r="B24" s="19" t="n">
        <v>2024</v>
      </c>
      <c r="C24" s="32" t="n">
        <v>3708.984514846369</v>
      </c>
      <c r="D24" s="33" t="n">
        <v>0.6596194595944882</v>
      </c>
      <c r="E24" s="22" t="n">
        <v>24.86438042085586</v>
      </c>
      <c r="F24" s="22" t="n">
        <v>1.423672591649212</v>
      </c>
      <c r="G24" s="33" t="n">
        <v>0.4644785696913753</v>
      </c>
    </row>
    <row r="25">
      <c r="A25" s="23" t="inlineStr">
        <is>
          <t>Papua Barat</t>
        </is>
      </c>
      <c r="B25" s="23" t="n">
        <v>2024</v>
      </c>
      <c r="C25" s="34" t="n">
        <v>3837.319729912535</v>
      </c>
      <c r="D25" s="35" t="n">
        <v>0.7086904217328419</v>
      </c>
      <c r="E25" s="26" t="n">
        <v>25.66362538486917</v>
      </c>
      <c r="F25" s="26" t="n">
        <v>1.741620730187819</v>
      </c>
      <c r="G25" s="35" t="n">
        <v>0.4341101278621643</v>
      </c>
    </row>
    <row r="26">
      <c r="A26" s="19" t="inlineStr">
        <is>
          <t>Riau</t>
        </is>
      </c>
      <c r="B26" s="19" t="n">
        <v>2024</v>
      </c>
      <c r="C26" s="32" t="n">
        <v>2843.051787421874</v>
      </c>
      <c r="D26" s="33" t="n">
        <v>0.6860858453754612</v>
      </c>
      <c r="E26" s="22" t="n">
        <v>28.3742437021875</v>
      </c>
      <c r="F26" s="22" t="n">
        <v>4.0773381479682</v>
      </c>
      <c r="G26" s="33" t="n">
        <v>0.5371637785731739</v>
      </c>
    </row>
    <row r="27">
      <c r="A27" s="23" t="inlineStr">
        <is>
          <t>Sulawesi Barat</t>
        </is>
      </c>
      <c r="B27" s="23" t="n">
        <v>2024</v>
      </c>
      <c r="C27" s="34" t="n">
        <v>3010.148873695812</v>
      </c>
      <c r="D27" s="35" t="n">
        <v>0.7824239042299619</v>
      </c>
      <c r="E27" s="26" t="n">
        <v>25.39988393138837</v>
      </c>
      <c r="F27" s="26" t="n">
        <v>-0.8141855329068483</v>
      </c>
      <c r="G27" s="35" t="n">
        <v>0.2893759161313496</v>
      </c>
    </row>
    <row r="28">
      <c r="A28" s="19" t="inlineStr">
        <is>
          <t>Sulawesi Selatan</t>
        </is>
      </c>
      <c r="B28" s="19" t="n">
        <v>2024</v>
      </c>
      <c r="C28" s="32" t="n">
        <v>3369.85381187627</v>
      </c>
      <c r="D28" s="33" t="n">
        <v>0.6610739741743776</v>
      </c>
      <c r="E28" s="22" t="n">
        <v>26.32577828540695</v>
      </c>
      <c r="F28" s="22" t="n">
        <v>-1.135240905518344</v>
      </c>
      <c r="G28" s="33" t="n">
        <v>0.3035125314046444</v>
      </c>
    </row>
    <row r="29">
      <c r="A29" s="23" t="inlineStr">
        <is>
          <t>Sulawesi Tengah</t>
        </is>
      </c>
      <c r="B29" s="23" t="n">
        <v>2024</v>
      </c>
      <c r="C29" s="34" t="n">
        <v>2545.46561515511</v>
      </c>
      <c r="D29" s="35" t="n">
        <v>0.7246867464203008</v>
      </c>
      <c r="E29" s="26" t="n">
        <v>25.36485547549405</v>
      </c>
      <c r="F29" s="26" t="n">
        <v>-0.1318072439217957</v>
      </c>
      <c r="G29" s="35" t="n">
        <v>0.2780867289475582</v>
      </c>
    </row>
    <row r="30">
      <c r="A30" s="19" t="inlineStr">
        <is>
          <t>Sulawesi Tenggara</t>
        </is>
      </c>
      <c r="B30" s="19" t="n">
        <v>2024</v>
      </c>
      <c r="C30" s="32" t="n">
        <v>2693.114283621769</v>
      </c>
      <c r="D30" s="33" t="n">
        <v>0.7150214503272923</v>
      </c>
      <c r="E30" s="22" t="n">
        <v>26.11639531928393</v>
      </c>
      <c r="F30" s="22" t="n">
        <v>-0.1963429094707669</v>
      </c>
      <c r="G30" s="33" t="n">
        <v>0.334885206347388</v>
      </c>
    </row>
    <row r="31">
      <c r="A31" s="23" t="inlineStr">
        <is>
          <t>Sulawesi Utara</t>
        </is>
      </c>
      <c r="B31" s="23" t="n">
        <v>2024</v>
      </c>
      <c r="C31" s="34" t="n">
        <v>2701.225093124516</v>
      </c>
      <c r="D31" s="35" t="n">
        <v>0.7594566910219366</v>
      </c>
      <c r="E31" s="26" t="n">
        <v>25.89414507706453</v>
      </c>
      <c r="F31" s="26" t="n">
        <v>0.6774761027638747</v>
      </c>
      <c r="G31" s="35" t="n">
        <v>0.2605881979266413</v>
      </c>
    </row>
    <row r="32">
      <c r="A32" s="19" t="inlineStr">
        <is>
          <t>Sumatera Barat</t>
        </is>
      </c>
      <c r="B32" s="19" t="n">
        <v>2024</v>
      </c>
      <c r="C32" s="32" t="n">
        <v>3241.901465568989</v>
      </c>
      <c r="D32" s="33" t="n">
        <v>0.7074059158423667</v>
      </c>
      <c r="E32" s="22" t="n">
        <v>26.28023876225442</v>
      </c>
      <c r="F32" s="22" t="n">
        <v>3.036849469270796</v>
      </c>
      <c r="G32" s="33" t="n">
        <v>0.3711048513653135</v>
      </c>
    </row>
    <row r="33">
      <c r="A33" s="23" t="inlineStr">
        <is>
          <t>Sumatera Selatan</t>
        </is>
      </c>
      <c r="B33" s="23" t="n">
        <v>2024</v>
      </c>
      <c r="C33" s="34" t="n">
        <v>2946.389732400468</v>
      </c>
      <c r="D33" s="35" t="n">
        <v>0.6836575800042529</v>
      </c>
      <c r="E33" s="26" t="n">
        <v>28.07004286693629</v>
      </c>
      <c r="F33" s="26" t="n">
        <v>-0.8843190132086924</v>
      </c>
      <c r="G33" s="35" t="n">
        <v>0.4247912045311673</v>
      </c>
    </row>
    <row r="34">
      <c r="A34" s="19" t="inlineStr">
        <is>
          <t>Sumatera Utara</t>
        </is>
      </c>
      <c r="B34" s="19" t="n">
        <v>2024</v>
      </c>
      <c r="C34" s="32" t="n">
        <v>2866.643929514968</v>
      </c>
      <c r="D34" s="33" t="n">
        <v>0.7162451791456326</v>
      </c>
      <c r="E34" s="22" t="n">
        <v>27.08532018936243</v>
      </c>
      <c r="F34" s="22" t="n">
        <v>5.87987690377331</v>
      </c>
      <c r="G34" s="33" t="n">
        <v>0.3720998620693879</v>
      </c>
    </row>
    <row r="35">
      <c r="A35" s="23" t="inlineStr">
        <is>
          <t>Yogyakarta</t>
        </is>
      </c>
      <c r="B35" s="23" t="n">
        <v>2024</v>
      </c>
      <c r="C35" s="34" t="n">
        <v>2198.865950306189</v>
      </c>
      <c r="D35" s="35" t="n">
        <v>0.6353429277360516</v>
      </c>
      <c r="E35" s="26" t="n">
        <v>29.69534069892954</v>
      </c>
      <c r="F35" s="26" t="n">
        <v>-4.114237834311805</v>
      </c>
      <c r="G35" s="35" t="n">
        <v>0.3057266291633311</v>
      </c>
    </row>
  </sheetData>
  <autoFilter ref="A1:G35"/>
  <conditionalFormatting sqref="D2:D35">
    <cfRule type="colorScale" priority="1">
      <colorScale>
        <cfvo type="min"/>
        <cfvo type="percentile" val="50"/>
        <cfvo type="max"/>
        <color rgb="00F18CBA"/>
        <color rgb="00FFC76B"/>
        <color rgb="0044E0C1"/>
      </colorScale>
    </cfRule>
    <cfRule type="dataBar" priority="2">
      <dataBar showValue="1">
        <cfvo type="num" val="0"/>
        <cfvo type="num" val="1"/>
        <color rgb="0044E0C1"/>
      </dataBar>
    </cfRule>
  </conditionalFormatting>
  <pageMargins left="0.75" right="0.75" top="1" bottom="1" header="0.5" footer="0.5"/>
  <pageSetup fitToWidth="1"/>
</worksheet>
</file>

<file path=xl/worksheets/sheet3.xml><?xml version="1.0" encoding="utf-8"?>
<worksheet xmlns="http://schemas.openxmlformats.org/spreadsheetml/2006/main">
  <sheetPr>
    <tabColor rgb="007194FF"/>
    <outlinePr summaryBelow="1" summaryRight="1"/>
    <pageSetUpPr fitToPage="1"/>
  </sheetPr>
  <dimension ref="A1:G8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 ht="32" customHeight="1">
      <c r="A1" s="18" t="inlineStr">
        <is>
          <t>Provinsi</t>
        </is>
      </c>
      <c r="B1" s="18" t="inlineStr">
        <is>
          <t>Tahun</t>
        </is>
      </c>
      <c r="C1" s="18" t="inlineStr">
        <is>
          <t>Curah Hujan (mm/tahun)</t>
        </is>
      </c>
      <c r="D1" s="18" t="inlineStr">
        <is>
          <t>NDVI</t>
        </is>
      </c>
      <c r="E1" s="18" t="inlineStr">
        <is>
          <t>LST (°C)</t>
        </is>
      </c>
      <c r="F1" s="18" t="inlineStr">
        <is>
          <t>PDSI</t>
        </is>
      </c>
      <c r="G1" s="18" t="inlineStr">
        <is>
          <t>Kelembapan Tanah</t>
        </is>
      </c>
    </row>
    <row r="2">
      <c r="A2" s="19" t="inlineStr">
        <is>
          <t>Sulawesi Selatan</t>
        </is>
      </c>
      <c r="B2" s="19" t="n">
        <v>2018</v>
      </c>
      <c r="C2" s="32" t="n">
        <v>2475.442653136617</v>
      </c>
      <c r="D2" s="33" t="n">
        <v>0.652367974314164</v>
      </c>
      <c r="E2" s="22" t="n">
        <v>27.71328294050592</v>
      </c>
      <c r="F2" s="22" t="n">
        <v>2.63333875140995</v>
      </c>
      <c r="G2" s="33" t="n">
        <v>0.3021643551953585</v>
      </c>
    </row>
    <row r="3">
      <c r="A3" s="23" t="inlineStr">
        <is>
          <t>Sulawesi Selatan</t>
        </is>
      </c>
      <c r="B3" s="23" t="n">
        <v>2019</v>
      </c>
      <c r="C3" s="34" t="n">
        <v>2141.819507019541</v>
      </c>
      <c r="D3" s="35" t="n">
        <v>0.6586783994384553</v>
      </c>
      <c r="E3" s="26" t="n">
        <v>28.08129711826746</v>
      </c>
      <c r="F3" s="26" t="n">
        <v>3.24900497137107</v>
      </c>
      <c r="G3" s="35" t="n">
        <v>0.2686984966821541</v>
      </c>
    </row>
    <row r="4">
      <c r="A4" s="19" t="inlineStr">
        <is>
          <t>Sulawesi Selatan</t>
        </is>
      </c>
      <c r="B4" s="19" t="n">
        <v>2020</v>
      </c>
      <c r="C4" s="32" t="n">
        <v>3175.538063710353</v>
      </c>
      <c r="D4" s="33" t="n">
        <v>0.6566837008444658</v>
      </c>
      <c r="E4" s="22" t="n">
        <v>27.28727879103888</v>
      </c>
      <c r="F4" s="22" t="n">
        <v>0.7731666977577393</v>
      </c>
      <c r="G4" s="33" t="n">
        <v>0.3212258550938963</v>
      </c>
    </row>
    <row r="5">
      <c r="A5" s="23" t="inlineStr">
        <is>
          <t>Sulawesi Selatan</t>
        </is>
      </c>
      <c r="B5" s="23" t="n">
        <v>2021</v>
      </c>
      <c r="C5" s="34" t="n">
        <v>3580.305562837362</v>
      </c>
      <c r="D5" s="35" t="n">
        <v>0.6578638320273363</v>
      </c>
      <c r="E5" s="26" t="n">
        <v>26.93285702627405</v>
      </c>
      <c r="F5" s="26" t="n">
        <v>1.294473580132437</v>
      </c>
      <c r="G5" s="35" t="n">
        <v>0.3521794022965989</v>
      </c>
    </row>
    <row r="6">
      <c r="A6" s="19" t="inlineStr">
        <is>
          <t>Sulawesi Selatan</t>
        </is>
      </c>
      <c r="B6" s="19" t="n">
        <v>2022</v>
      </c>
      <c r="C6" s="32" t="n">
        <v>3748.639488943024</v>
      </c>
      <c r="D6" s="33" t="n">
        <v>0.6498952041881449</v>
      </c>
      <c r="E6" s="22" t="n">
        <v>26.34196793943838</v>
      </c>
      <c r="F6" s="22" t="n">
        <v>2.938926763606803</v>
      </c>
      <c r="G6" s="33" t="n">
        <v>0.3577838766109676</v>
      </c>
    </row>
    <row r="7">
      <c r="A7" s="23" t="inlineStr">
        <is>
          <t>Sulawesi Selatan</t>
        </is>
      </c>
      <c r="B7" s="23" t="n">
        <v>2023</v>
      </c>
      <c r="C7" s="34" t="n">
        <v>2320.136712905752</v>
      </c>
      <c r="D7" s="35" t="n">
        <v>0.6484394372097592</v>
      </c>
      <c r="E7" s="26" t="n">
        <v>27.45546765026544</v>
      </c>
      <c r="F7" s="26" t="n">
        <v>0.6405987409030034</v>
      </c>
      <c r="G7" s="35" t="n">
        <v>0.3033408836879537</v>
      </c>
    </row>
    <row r="8">
      <c r="A8" s="19" t="inlineStr">
        <is>
          <t>Sulawesi Selatan</t>
        </is>
      </c>
      <c r="B8" s="19" t="n">
        <v>2024</v>
      </c>
      <c r="C8" s="32" t="n">
        <v>3369.85381187627</v>
      </c>
      <c r="D8" s="33" t="n">
        <v>0.6610739741743776</v>
      </c>
      <c r="E8" s="22" t="n">
        <v>26.32577828540695</v>
      </c>
      <c r="F8" s="22" t="n">
        <v>-1.135240905518344</v>
      </c>
      <c r="G8" s="33" t="n">
        <v>0.3035125314046444</v>
      </c>
    </row>
  </sheetData>
  <pageMargins left="0.75" right="0.75" top="1" bottom="1" header="0.5" footer="0.5"/>
  <pageSetup fitToWidth="1"/>
</worksheet>
</file>

<file path=xl/worksheets/sheet4.xml><?xml version="1.0" encoding="utf-8"?>
<worksheet xmlns="http://schemas.openxmlformats.org/spreadsheetml/2006/main">
  <sheetPr>
    <tabColor rgb="007194FF"/>
    <outlinePr summaryBelow="1" summaryRight="1"/>
    <pageSetUpPr fitToPage="1"/>
  </sheetPr>
  <dimension ref="A1:D9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8" customWidth="1" min="2" max="2"/>
    <col width="28" customWidth="1" min="3" max="3"/>
    <col width="70" customWidth="1" min="4" max="4"/>
  </cols>
  <sheetData>
    <row r="1" ht="32" customHeight="1">
      <c r="A1" s="18" t="inlineStr">
        <is>
          <t>Field</t>
        </is>
      </c>
      <c r="B1" s="18" t="inlineStr">
        <is>
          <t>Description</t>
        </is>
      </c>
      <c r="C1" s="18" t="inlineStr">
        <is>
          <t>Unit / scale</t>
        </is>
      </c>
      <c r="D1" s="18" t="inlineStr">
        <is>
          <t>Interpretation note</t>
        </is>
      </c>
    </row>
    <row r="2">
      <c r="A2" s="19" t="inlineStr">
        <is>
          <t>Provinsi</t>
        </is>
      </c>
      <c r="B2" s="19" t="inlineStr">
        <is>
          <t>Province name</t>
        </is>
      </c>
      <c r="C2" s="19" t="inlineStr">
        <is>
          <t>Categorical</t>
        </is>
      </c>
      <c r="D2" s="19" t="inlineStr">
        <is>
          <t>One row per province-year</t>
        </is>
      </c>
    </row>
    <row r="3">
      <c r="A3" s="23" t="inlineStr">
        <is>
          <t>Tahun</t>
        </is>
      </c>
      <c r="B3" s="23" t="inlineStr">
        <is>
          <t>Calendar year</t>
        </is>
      </c>
      <c r="C3" s="23" t="inlineStr">
        <is>
          <t>Year</t>
        </is>
      </c>
      <c r="D3" s="23" t="inlineStr">
        <is>
          <t>Annual aggregation</t>
        </is>
      </c>
    </row>
    <row r="4">
      <c r="A4" s="19" t="inlineStr">
        <is>
          <t>Curah Hujan</t>
        </is>
      </c>
      <c r="B4" s="19" t="inlineStr">
        <is>
          <t>Annual precipitation</t>
        </is>
      </c>
      <c r="C4" s="19" t="inlineStr">
        <is>
          <t>mm/year</t>
        </is>
      </c>
      <c r="D4" s="19" t="inlineStr">
        <is>
          <t>Source variable: CHIRPS</t>
        </is>
      </c>
    </row>
    <row r="5">
      <c r="A5" s="23" t="inlineStr">
        <is>
          <t>NDVI</t>
        </is>
      </c>
      <c r="B5" s="23" t="inlineStr">
        <is>
          <t>Normalized Difference Vegetation Index</t>
        </is>
      </c>
      <c r="C5" s="23" t="inlineStr">
        <is>
          <t>Usually -1 to +1</t>
        </is>
      </c>
      <c r="D5" s="23" t="inlineStr">
        <is>
          <t>Higher positive values generally indicate greener vegetation</t>
        </is>
      </c>
    </row>
    <row r="6">
      <c r="A6" s="19" t="inlineStr">
        <is>
          <t>LST</t>
        </is>
      </c>
      <c r="B6" s="19" t="inlineStr">
        <is>
          <t>Land Surface Temperature</t>
        </is>
      </c>
      <c r="C6" s="19" t="inlineStr">
        <is>
          <t>°C</t>
        </is>
      </c>
      <c r="D6" s="19" t="inlineStr">
        <is>
          <t>Surface temperature, not air temperature</t>
        </is>
      </c>
    </row>
    <row r="7">
      <c r="A7" s="23" t="inlineStr">
        <is>
          <t>PDSI</t>
        </is>
      </c>
      <c r="B7" s="23" t="inlineStr">
        <is>
          <t>Palmer Drought Severity Index</t>
        </is>
      </c>
      <c r="C7" s="23" t="inlineStr">
        <is>
          <t>Index</t>
        </is>
      </c>
      <c r="D7" s="23" t="inlineStr">
        <is>
          <t>Negative values generally indicate drier conditions; positive wetter conditions</t>
        </is>
      </c>
    </row>
    <row r="8">
      <c r="A8" s="19" t="inlineStr">
        <is>
          <t>Kelembapan Tanah</t>
        </is>
      </c>
      <c r="B8" s="19" t="inlineStr">
        <is>
          <t>Surface soil moisture</t>
        </is>
      </c>
      <c r="C8" s="19" t="inlineStr">
        <is>
          <t>As reported by source</t>
        </is>
      </c>
      <c r="D8" s="19" t="inlineStr">
        <is>
          <t>Do not assume unit conversion without checking original documentation</t>
        </is>
      </c>
    </row>
    <row r="9">
      <c r="A9" s="23" t="inlineStr">
        <is>
          <t>Scope</t>
        </is>
      </c>
      <c r="B9" s="23" t="inlineStr">
        <is>
          <t>2024 provincial snapshot + South Sulawesi 2018–2024 time series</t>
        </is>
      </c>
      <c r="C9" s="23" t="inlineStr">
        <is>
          <t>Extracted rows</t>
        </is>
      </c>
      <c r="D9" s="23" t="inlineStr">
        <is>
          <t>Not the full 238-row source dataset</t>
        </is>
      </c>
    </row>
  </sheetData>
  <pageMargins left="0.75" right="0.75" top="1" bottom="1" header="0.5" footer="0.5"/>
  <pageSetup fitToWidth="1"/>
</worksheet>
</file>

<file path=xl/worksheets/sheet5.xml><?xml version="1.0" encoding="utf-8"?>
<worksheet xmlns="http://schemas.openxmlformats.org/spreadsheetml/2006/main">
  <sheetPr>
    <tabColor rgb="007194FF"/>
    <outlinePr summaryBelow="1" summaryRight="1"/>
    <pageSetUpPr fitToPage="1"/>
  </sheetPr>
  <dimension ref="A1:B1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 ht="32" customHeight="1">
      <c r="A1" s="18" t="inlineStr">
        <is>
          <t>Item</t>
        </is>
      </c>
      <c r="B1" s="18" t="inlineStr">
        <is>
          <t>Details</t>
        </is>
      </c>
    </row>
    <row r="2" ht="32" customHeight="1">
      <c r="A2" s="19" t="inlineStr">
        <is>
          <t>Dataset title</t>
        </is>
      </c>
      <c r="B2" s="27" t="inlineStr">
        <is>
          <t>Indonesia Province Climate–Vegetation Panel Dataset (2018–2024): Annual NDVI, Rainfall, Land Surface Temperature, PDSI, and Soil Moisture</t>
        </is>
      </c>
    </row>
    <row r="3" ht="32" customHeight="1">
      <c r="A3" s="23" t="inlineStr">
        <is>
          <t>Repository / DOI</t>
        </is>
      </c>
      <c r="B3" s="28" t="inlineStr">
        <is>
          <t>https://doi.org/10.5281/zenodo.21507865</t>
        </is>
      </c>
    </row>
    <row r="4" ht="32" customHeight="1">
      <c r="A4" s="19" t="inlineStr">
        <is>
          <t>Repository record</t>
        </is>
      </c>
      <c r="B4" s="27" t="inlineStr">
        <is>
          <t>https://zenodo.org/records/21507865</t>
        </is>
      </c>
    </row>
    <row r="5" ht="32" customHeight="1">
      <c r="A5" s="23" t="inlineStr">
        <is>
          <t>CSV source file</t>
        </is>
      </c>
      <c r="B5" s="28" t="inlineStr">
        <is>
          <t>https://zenodo.org/records/21507865/files/Indonesia_Province_Panel_2018_2024.csv?download=1</t>
        </is>
      </c>
    </row>
    <row r="6" ht="32" customHeight="1">
      <c r="A6" s="19" t="inlineStr">
        <is>
          <t>Dataset description</t>
        </is>
      </c>
      <c r="B6" s="27" t="inlineStr">
        <is>
          <t>The repository describes 238 province-year observations for 34 Indonesian provinces, 2018–2024.</t>
        </is>
      </c>
    </row>
    <row r="7" ht="32" customHeight="1">
      <c r="A7" s="23" t="inlineStr">
        <is>
          <t>Variables and stated sources</t>
        </is>
      </c>
      <c r="B7" s="28" t="inlineStr">
        <is>
          <t>NDVI: MODIS MOD13Q1; LST: MODIS MOD11A2; rainfall: CHIRPS; PDSI: TerraClimate; soil moisture: SMAP.</t>
        </is>
      </c>
    </row>
    <row r="8" ht="32" customHeight="1">
      <c r="A8" s="19" t="inlineStr">
        <is>
          <t>Data included in this workbook</t>
        </is>
      </c>
      <c r="B8" s="27" t="inlineStr">
        <is>
          <t>2024 snapshot (34 provinces) and South Sulawesi series (2018–2024), transcribed from visible rows in the repository CSV.</t>
        </is>
      </c>
    </row>
    <row r="9" ht="32" customHeight="1">
      <c r="A9" s="23" t="inlineStr">
        <is>
          <t>Important scope note</t>
        </is>
      </c>
      <c r="B9" s="28" t="inlineStr">
        <is>
          <t>This workbook/dashboard uses a documented extract, not the full 238-record panel. Use the original CSV for full panel analysis.</t>
        </is>
      </c>
    </row>
    <row r="10" ht="32" customHeight="1">
      <c r="A10" s="19" t="inlineStr">
        <is>
          <t>Scientific caution</t>
        </is>
      </c>
      <c r="B10" s="27" t="inlineStr">
        <is>
          <t>Values are province-level annual aggregates. They cannot replace pixel-level raster analysis, seasonal analysis, or field validation.</t>
        </is>
      </c>
    </row>
    <row r="11" ht="32" customHeight="1">
      <c r="A11" s="23" t="inlineStr">
        <is>
          <t>NDVI formula</t>
        </is>
      </c>
      <c r="B11" s="28" t="inlineStr">
        <is>
          <t>NDVI = (NIR − Red) / (NIR + Red)</t>
        </is>
      </c>
    </row>
    <row r="12" ht="32" customHeight="1">
      <c r="A12" s="19" t="inlineStr">
        <is>
          <t>NASA MODIS documentation</t>
        </is>
      </c>
      <c r="B12" s="27" t="inlineStr">
        <is>
          <t>https://modarch.gsfc.nasa.gov/data/dataprod/mod13.php</t>
        </is>
      </c>
    </row>
    <row r="13" ht="32" customHeight="1">
      <c r="A13" s="23" t="inlineStr">
        <is>
          <t>Generated</t>
        </is>
      </c>
      <c r="B13" s="28" t="inlineStr">
        <is>
          <t>2026-10-28</t>
        </is>
      </c>
    </row>
  </sheetData>
  <pageMargins left="0.75" right="0.75" top="1" bottom="1" header="0.5" footer="0.5"/>
  <pageSetup fitToWidth="1"/>
</worksheet>
</file>

<file path=xl/worksheets/sheet6.xml><?xml version="1.0" encoding="utf-8"?>
<worksheet xmlns="http://schemas.openxmlformats.org/spreadsheetml/2006/main">
  <sheetPr>
    <tabColor rgb="0044E0C1"/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2" customWidth="1" min="3" max="3"/>
    <col width="23" customWidth="1" min="4" max="4"/>
    <col width="27" customWidth="1" min="5" max="5"/>
    <col width="14" customWidth="1" min="6" max="6"/>
    <col width="74" customWidth="1" min="7" max="7"/>
  </cols>
  <sheetData>
    <row r="1" ht="34" customHeight="1">
      <c r="A1" s="18" t="inlineStr">
        <is>
          <t>Provinsi</t>
        </is>
      </c>
      <c r="B1" s="18" t="inlineStr">
        <is>
          <t>Tahun data</t>
        </is>
      </c>
      <c r="C1" s="18" t="inlineStr">
        <is>
          <t>Latitude representatif</t>
        </is>
      </c>
      <c r="D1" s="18" t="inlineStr">
        <is>
          <t>Longitude representatif</t>
        </is>
      </c>
      <c r="E1" s="18" t="inlineStr">
        <is>
          <t>Lokasi representatif</t>
        </is>
      </c>
      <c r="F1" s="18" t="inlineStr">
        <is>
          <t>NDVI 2024</t>
        </is>
      </c>
      <c r="G1" s="18" t="inlineStr">
        <is>
          <t>Catatan</t>
        </is>
      </c>
    </row>
    <row r="2">
      <c r="A2" s="36" t="inlineStr">
        <is>
          <t>Aceh</t>
        </is>
      </c>
      <c r="B2" s="36" t="n">
        <v>2024</v>
      </c>
      <c r="C2" s="37" t="n">
        <v>5.5483</v>
      </c>
      <c r="D2" s="37" t="n">
        <v>95.32380000000001</v>
      </c>
      <c r="E2" s="38" t="inlineStr">
        <is>
          <t>Banda Aceh</t>
        </is>
      </c>
      <c r="F2" s="39" t="n">
        <v>0.7624466859878303</v>
      </c>
      <c r="G2" s="38" t="inlineStr">
        <is>
          <t>Titik representatif (umumnya ibu kota); bukan batas poligon atau piksel NDVI.</t>
        </is>
      </c>
    </row>
    <row r="3">
      <c r="A3" s="40" t="inlineStr">
        <is>
          <t>Bali</t>
        </is>
      </c>
      <c r="B3" s="40" t="n">
        <v>2024</v>
      </c>
      <c r="C3" s="41" t="n">
        <v>-8.670500000000001</v>
      </c>
      <c r="D3" s="41" t="n">
        <v>115.2126</v>
      </c>
      <c r="E3" s="42" t="inlineStr">
        <is>
          <t>Denpasar</t>
        </is>
      </c>
      <c r="F3" s="43" t="n">
        <v>0.6899347295942274</v>
      </c>
      <c r="G3" s="42" t="inlineStr">
        <is>
          <t>Titik representatif (umumnya ibu kota); bukan batas poligon atau piksel NDVI.</t>
        </is>
      </c>
    </row>
    <row r="4">
      <c r="A4" s="36" t="inlineStr">
        <is>
          <t>Bangka Belitung</t>
        </is>
      </c>
      <c r="B4" s="36" t="n">
        <v>2024</v>
      </c>
      <c r="C4" s="37" t="n">
        <v>-2.1316</v>
      </c>
      <c r="D4" s="37" t="n">
        <v>106.1169</v>
      </c>
      <c r="E4" s="38" t="inlineStr">
        <is>
          <t>Pangkalpinang</t>
        </is>
      </c>
      <c r="F4" s="39" t="n">
        <v>0.6408696231377333</v>
      </c>
      <c r="G4" s="38" t="inlineStr">
        <is>
          <t>Titik representatif (umumnya ibu kota); bukan batas poligon atau piksel NDVI.</t>
        </is>
      </c>
    </row>
    <row r="5">
      <c r="A5" s="40" t="inlineStr">
        <is>
          <t>Banten</t>
        </is>
      </c>
      <c r="B5" s="40" t="n">
        <v>2024</v>
      </c>
      <c r="C5" s="41" t="n">
        <v>-6.12</v>
      </c>
      <c r="D5" s="41" t="n">
        <v>106.1503</v>
      </c>
      <c r="E5" s="42" t="inlineStr">
        <is>
          <t>Serang</t>
        </is>
      </c>
      <c r="F5" s="43" t="n">
        <v>0.6391132232510925</v>
      </c>
      <c r="G5" s="42" t="inlineStr">
        <is>
          <t>Titik representatif (umumnya ibu kota); bukan batas poligon atau piksel NDVI.</t>
        </is>
      </c>
    </row>
    <row r="6">
      <c r="A6" s="36" t="inlineStr">
        <is>
          <t>Bengkulu</t>
        </is>
      </c>
      <c r="B6" s="36" t="n">
        <v>2024</v>
      </c>
      <c r="C6" s="37" t="n">
        <v>-3.8004</v>
      </c>
      <c r="D6" s="37" t="n">
        <v>102.2655</v>
      </c>
      <c r="E6" s="38" t="inlineStr">
        <is>
          <t>Bengkulu</t>
        </is>
      </c>
      <c r="F6" s="39" t="n">
        <v>0.7841348189761738</v>
      </c>
      <c r="G6" s="38" t="inlineStr">
        <is>
          <t>Titik representatif (umumnya ibu kota); bukan batas poligon atau piksel NDVI.</t>
        </is>
      </c>
    </row>
    <row r="7">
      <c r="A7" s="40" t="inlineStr">
        <is>
          <t>Gorontalo</t>
        </is>
      </c>
      <c r="B7" s="40" t="n">
        <v>2024</v>
      </c>
      <c r="C7" s="41" t="n">
        <v>0.5435</v>
      </c>
      <c r="D7" s="41" t="n">
        <v>123.0568</v>
      </c>
      <c r="E7" s="42" t="inlineStr">
        <is>
          <t>Gorontalo</t>
        </is>
      </c>
      <c r="F7" s="43" t="n">
        <v>0.7502872112321251</v>
      </c>
      <c r="G7" s="42" t="inlineStr">
        <is>
          <t>Titik representatif (umumnya ibu kota); bukan batas poligon atau piksel NDVI.</t>
        </is>
      </c>
    </row>
    <row r="8">
      <c r="A8" s="36" t="inlineStr">
        <is>
          <t>Jakarta Raya</t>
        </is>
      </c>
      <c r="B8" s="36" t="n">
        <v>2024</v>
      </c>
      <c r="C8" s="37" t="n">
        <v>-6.2088</v>
      </c>
      <c r="D8" s="37" t="n">
        <v>106.8456</v>
      </c>
      <c r="E8" s="38" t="inlineStr">
        <is>
          <t>Jakarta</t>
        </is>
      </c>
      <c r="F8" s="39" t="n">
        <v>0.2816207441033748</v>
      </c>
      <c r="G8" s="38" t="inlineStr">
        <is>
          <t>Titik representatif (umumnya ibu kota); bukan batas poligon atau piksel NDVI.</t>
        </is>
      </c>
    </row>
    <row r="9">
      <c r="A9" s="40" t="inlineStr">
        <is>
          <t>Jambi</t>
        </is>
      </c>
      <c r="B9" s="40" t="n">
        <v>2024</v>
      </c>
      <c r="C9" s="41" t="n">
        <v>-1.6101</v>
      </c>
      <c r="D9" s="41" t="n">
        <v>103.6131</v>
      </c>
      <c r="E9" s="42" t="inlineStr">
        <is>
          <t>Jambi</t>
        </is>
      </c>
      <c r="F9" s="43" t="n">
        <v>0.6620071434667998</v>
      </c>
      <c r="G9" s="42" t="inlineStr">
        <is>
          <t>Titik representatif (umumnya ibu kota); bukan batas poligon atau piksel NDVI.</t>
        </is>
      </c>
    </row>
    <row r="10">
      <c r="A10" s="36" t="inlineStr">
        <is>
          <t>Jawa Barat</t>
        </is>
      </c>
      <c r="B10" s="36" t="n">
        <v>2024</v>
      </c>
      <c r="C10" s="37" t="n">
        <v>-6.9175</v>
      </c>
      <c r="D10" s="37" t="n">
        <v>107.6191</v>
      </c>
      <c r="E10" s="38" t="inlineStr">
        <is>
          <t>Bandung</t>
        </is>
      </c>
      <c r="F10" s="39" t="n">
        <v>0.6489680840440657</v>
      </c>
      <c r="G10" s="38" t="inlineStr">
        <is>
          <t>Titik representatif (umumnya ibu kota); bukan batas poligon atau piksel NDVI.</t>
        </is>
      </c>
    </row>
    <row r="11">
      <c r="A11" s="40" t="inlineStr">
        <is>
          <t>Jawa Tengah</t>
        </is>
      </c>
      <c r="B11" s="40" t="n">
        <v>2024</v>
      </c>
      <c r="C11" s="41" t="n">
        <v>-6.9667</v>
      </c>
      <c r="D11" s="41" t="n">
        <v>110.4167</v>
      </c>
      <c r="E11" s="42" t="inlineStr">
        <is>
          <t>Semarang</t>
        </is>
      </c>
      <c r="F11" s="43" t="n">
        <v>0.6361287975957369</v>
      </c>
      <c r="G11" s="42" t="inlineStr">
        <is>
          <t>Titik representatif (umumnya ibu kota); bukan batas poligon atau piksel NDVI.</t>
        </is>
      </c>
    </row>
    <row r="12">
      <c r="A12" s="36" t="inlineStr">
        <is>
          <t>Jawa Timur</t>
        </is>
      </c>
      <c r="B12" s="36" t="n">
        <v>2024</v>
      </c>
      <c r="C12" s="37" t="n">
        <v>-7.2575</v>
      </c>
      <c r="D12" s="37" t="n">
        <v>112.7521</v>
      </c>
      <c r="E12" s="38" t="inlineStr">
        <is>
          <t>Surabaya</t>
        </is>
      </c>
      <c r="F12" s="39" t="n">
        <v>0.6446196594999316</v>
      </c>
      <c r="G12" s="38" t="inlineStr">
        <is>
          <t>Titik representatif (umumnya ibu kota); bukan batas poligon atau piksel NDVI.</t>
        </is>
      </c>
    </row>
    <row r="13">
      <c r="A13" s="40" t="inlineStr">
        <is>
          <t>Kalimantan Barat</t>
        </is>
      </c>
      <c r="B13" s="40" t="n">
        <v>2024</v>
      </c>
      <c r="C13" s="41" t="n">
        <v>-0.0263</v>
      </c>
      <c r="D13" s="41" t="n">
        <v>109.3425</v>
      </c>
      <c r="E13" s="42" t="inlineStr">
        <is>
          <t>Pontianak</t>
        </is>
      </c>
      <c r="F13" s="43" t="n">
        <v>0.7056004991252147</v>
      </c>
      <c r="G13" s="42" t="inlineStr">
        <is>
          <t>Titik representatif (umumnya ibu kota); bukan batas poligon atau piksel NDVI.</t>
        </is>
      </c>
    </row>
    <row r="14">
      <c r="A14" s="36" t="inlineStr">
        <is>
          <t>Kalimantan Selatan</t>
        </is>
      </c>
      <c r="B14" s="36" t="n">
        <v>2024</v>
      </c>
      <c r="C14" s="37" t="n">
        <v>-3.3194</v>
      </c>
      <c r="D14" s="37" t="n">
        <v>114.5908</v>
      </c>
      <c r="E14" s="38" t="inlineStr">
        <is>
          <t>Banjarbaru / Banjarmasin</t>
        </is>
      </c>
      <c r="F14" s="39" t="n">
        <v>0.6966051619361807</v>
      </c>
      <c r="G14" s="38" t="inlineStr">
        <is>
          <t>Titik representatif (umumnya ibu kota); bukan batas poligon atau piksel NDVI.</t>
        </is>
      </c>
    </row>
    <row r="15">
      <c r="A15" s="40" t="inlineStr">
        <is>
          <t>Kalimantan Tengah</t>
        </is>
      </c>
      <c r="B15" s="40" t="n">
        <v>2024</v>
      </c>
      <c r="C15" s="41" t="n">
        <v>-2.2096</v>
      </c>
      <c r="D15" s="41" t="n">
        <v>113.9213</v>
      </c>
      <c r="E15" s="42" t="inlineStr">
        <is>
          <t>Palangka Raya</t>
        </is>
      </c>
      <c r="F15" s="43" t="n">
        <v>0.6810924369888623</v>
      </c>
      <c r="G15" s="42" t="inlineStr">
        <is>
          <t>Titik representatif (umumnya ibu kota); bukan batas poligon atau piksel NDVI.</t>
        </is>
      </c>
    </row>
    <row r="16">
      <c r="A16" s="36" t="inlineStr">
        <is>
          <t>Kalimantan Timur</t>
        </is>
      </c>
      <c r="B16" s="36" t="n">
        <v>2024</v>
      </c>
      <c r="C16" s="37" t="n">
        <v>-0.5022</v>
      </c>
      <c r="D16" s="37" t="n">
        <v>117.1536</v>
      </c>
      <c r="E16" s="38" t="inlineStr">
        <is>
          <t>Samarinda</t>
        </is>
      </c>
      <c r="F16" s="39" t="n">
        <v>0.6805386720059775</v>
      </c>
      <c r="G16" s="38" t="inlineStr">
        <is>
          <t>Titik representatif (umumnya ibu kota); bukan batas poligon atau piksel NDVI.</t>
        </is>
      </c>
    </row>
    <row r="17">
      <c r="A17" s="40" t="inlineStr">
        <is>
          <t>Kalimantan Utara</t>
        </is>
      </c>
      <c r="B17" s="40" t="n">
        <v>2024</v>
      </c>
      <c r="C17" s="41" t="n">
        <v>2.8375</v>
      </c>
      <c r="D17" s="41" t="n">
        <v>117.3653</v>
      </c>
      <c r="E17" s="42" t="inlineStr">
        <is>
          <t>Tanjung Selor</t>
        </is>
      </c>
      <c r="F17" s="43" t="n">
        <v>0.6769453331529955</v>
      </c>
      <c r="G17" s="42" t="inlineStr">
        <is>
          <t>Titik representatif (umumnya ibu kota); bukan batas poligon atau piksel NDVI.</t>
        </is>
      </c>
    </row>
    <row r="18">
      <c r="A18" s="36" t="inlineStr">
        <is>
          <t>Kepulauan Riau</t>
        </is>
      </c>
      <c r="B18" s="36" t="n">
        <v>2024</v>
      </c>
      <c r="C18" s="37" t="n">
        <v>0.9186</v>
      </c>
      <c r="D18" s="37" t="n">
        <v>104.4665</v>
      </c>
      <c r="E18" s="38" t="inlineStr">
        <is>
          <t>Tanjungpinang</t>
        </is>
      </c>
      <c r="F18" s="39" t="n">
        <v>0.6130268088480181</v>
      </c>
      <c r="G18" s="38" t="inlineStr">
        <is>
          <t>Titik representatif (umumnya ibu kota); bukan batas poligon atau piksel NDVI.</t>
        </is>
      </c>
    </row>
    <row r="19">
      <c r="A19" s="40" t="inlineStr">
        <is>
          <t>Lampung</t>
        </is>
      </c>
      <c r="B19" s="40" t="n">
        <v>2024</v>
      </c>
      <c r="C19" s="41" t="n">
        <v>-5.3971</v>
      </c>
      <c r="D19" s="41" t="n">
        <v>105.2668</v>
      </c>
      <c r="E19" s="42" t="inlineStr">
        <is>
          <t>Bandar Lampung</t>
        </is>
      </c>
      <c r="F19" s="43" t="n">
        <v>0.6589634326529771</v>
      </c>
      <c r="G19" s="42" t="inlineStr">
        <is>
          <t>Titik representatif (umumnya ibu kota); bukan batas poligon atau piksel NDVI.</t>
        </is>
      </c>
    </row>
    <row r="20">
      <c r="A20" s="36" t="inlineStr">
        <is>
          <t>Maluku</t>
        </is>
      </c>
      <c r="B20" s="36" t="n">
        <v>2024</v>
      </c>
      <c r="C20" s="37" t="n">
        <v>-3.6954</v>
      </c>
      <c r="D20" s="37" t="n">
        <v>128.1814</v>
      </c>
      <c r="E20" s="38" t="inlineStr">
        <is>
          <t>Ambon</t>
        </is>
      </c>
      <c r="F20" s="39" t="n">
        <v>0.7176074948073549</v>
      </c>
      <c r="G20" s="38" t="inlineStr">
        <is>
          <t>Titik representatif (umumnya ibu kota); bukan batas poligon atau piksel NDVI.</t>
        </is>
      </c>
    </row>
    <row r="21">
      <c r="A21" s="40" t="inlineStr">
        <is>
          <t>Maluku Utara</t>
        </is>
      </c>
      <c r="B21" s="40" t="n">
        <v>2024</v>
      </c>
      <c r="C21" s="41" t="n">
        <v>0.7907</v>
      </c>
      <c r="D21" s="41" t="n">
        <v>127.3842</v>
      </c>
      <c r="E21" s="42" t="inlineStr">
        <is>
          <t>Sofifi / Ternate</t>
        </is>
      </c>
      <c r="F21" s="43" t="n">
        <v>0.7344694709411748</v>
      </c>
      <c r="G21" s="42" t="inlineStr">
        <is>
          <t>Titik representatif (umumnya ibu kota); bukan batas poligon atau piksel NDVI.</t>
        </is>
      </c>
    </row>
    <row r="22">
      <c r="A22" s="36" t="inlineStr">
        <is>
          <t>Nusa Tenggara Barat</t>
        </is>
      </c>
      <c r="B22" s="36" t="n">
        <v>2024</v>
      </c>
      <c r="C22" s="37" t="n">
        <v>-8.583299999999999</v>
      </c>
      <c r="D22" s="37" t="n">
        <v>116.1167</v>
      </c>
      <c r="E22" s="38" t="inlineStr">
        <is>
          <t>Mataram</t>
        </is>
      </c>
      <c r="F22" s="39" t="n">
        <v>0.6773561958124985</v>
      </c>
      <c r="G22" s="38" t="inlineStr">
        <is>
          <t>Titik representatif (umumnya ibu kota); bukan batas poligon atau piksel NDVI.</t>
        </is>
      </c>
    </row>
    <row r="23">
      <c r="A23" s="40" t="inlineStr">
        <is>
          <t>Nusa Tenggara Timur</t>
        </is>
      </c>
      <c r="B23" s="40" t="n">
        <v>2024</v>
      </c>
      <c r="C23" s="41" t="n">
        <v>-10.1772</v>
      </c>
      <c r="D23" s="41" t="n">
        <v>123.607</v>
      </c>
      <c r="E23" s="42" t="inlineStr">
        <is>
          <t>Kupang</t>
        </is>
      </c>
      <c r="F23" s="43" t="n">
        <v>0.7009666371707365</v>
      </c>
      <c r="G23" s="42" t="inlineStr">
        <is>
          <t>Titik representatif (umumnya ibu kota); bukan batas poligon atau piksel NDVI.</t>
        </is>
      </c>
    </row>
    <row r="24">
      <c r="A24" s="36" t="inlineStr">
        <is>
          <t>Papua</t>
        </is>
      </c>
      <c r="B24" s="36" t="n">
        <v>2024</v>
      </c>
      <c r="C24" s="37" t="n">
        <v>-2.5337</v>
      </c>
      <c r="D24" s="37" t="n">
        <v>140.7181</v>
      </c>
      <c r="E24" s="38" t="inlineStr">
        <is>
          <t>Jayapura</t>
        </is>
      </c>
      <c r="F24" s="39" t="n">
        <v>0.6596194595944882</v>
      </c>
      <c r="G24" s="38" t="inlineStr">
        <is>
          <t>Titik representatif (umumnya ibu kota); bukan batas poligon atau piksel NDVI.</t>
        </is>
      </c>
    </row>
    <row r="25">
      <c r="A25" s="40" t="inlineStr">
        <is>
          <t>Papua Barat</t>
        </is>
      </c>
      <c r="B25" s="40" t="n">
        <v>2024</v>
      </c>
      <c r="C25" s="41" t="n">
        <v>-0.8615</v>
      </c>
      <c r="D25" s="41" t="n">
        <v>134.062</v>
      </c>
      <c r="E25" s="42" t="inlineStr">
        <is>
          <t>Manokwari</t>
        </is>
      </c>
      <c r="F25" s="43" t="n">
        <v>0.7086904217328419</v>
      </c>
      <c r="G25" s="42" t="inlineStr">
        <is>
          <t>Titik representatif (umumnya ibu kota); bukan batas poligon atau piksel NDVI.</t>
        </is>
      </c>
    </row>
    <row r="26">
      <c r="A26" s="36" t="inlineStr">
        <is>
          <t>Riau</t>
        </is>
      </c>
      <c r="B26" s="36" t="n">
        <v>2024</v>
      </c>
      <c r="C26" s="37" t="n">
        <v>0.5071</v>
      </c>
      <c r="D26" s="37" t="n">
        <v>101.4478</v>
      </c>
      <c r="E26" s="38" t="inlineStr">
        <is>
          <t>Pekanbaru</t>
        </is>
      </c>
      <c r="F26" s="39" t="n">
        <v>0.6860858453754612</v>
      </c>
      <c r="G26" s="38" t="inlineStr">
        <is>
          <t>Titik representatif (umumnya ibu kota); bukan batas poligon atau piksel NDVI.</t>
        </is>
      </c>
    </row>
    <row r="27">
      <c r="A27" s="40" t="inlineStr">
        <is>
          <t>Sulawesi Barat</t>
        </is>
      </c>
      <c r="B27" s="40" t="n">
        <v>2024</v>
      </c>
      <c r="C27" s="41" t="n">
        <v>-2.668</v>
      </c>
      <c r="D27" s="41" t="n">
        <v>118.8622</v>
      </c>
      <c r="E27" s="42" t="inlineStr">
        <is>
          <t>Mamuju</t>
        </is>
      </c>
      <c r="F27" s="43" t="n">
        <v>0.7824239042299619</v>
      </c>
      <c r="G27" s="42" t="inlineStr">
        <is>
          <t>Titik representatif (umumnya ibu kota); bukan batas poligon atau piksel NDVI.</t>
        </is>
      </c>
    </row>
    <row r="28">
      <c r="A28" s="36" t="inlineStr">
        <is>
          <t>Sulawesi Selatan</t>
        </is>
      </c>
      <c r="B28" s="36" t="n">
        <v>2024</v>
      </c>
      <c r="C28" s="37" t="n">
        <v>-5.1477</v>
      </c>
      <c r="D28" s="37" t="n">
        <v>119.4327</v>
      </c>
      <c r="E28" s="38" t="inlineStr">
        <is>
          <t>Makassar</t>
        </is>
      </c>
      <c r="F28" s="39" t="n">
        <v>0.6610739741743776</v>
      </c>
      <c r="G28" s="38" t="inlineStr">
        <is>
          <t>Titik representatif (umumnya ibu kota); bukan batas poligon atau piksel NDVI.</t>
        </is>
      </c>
    </row>
    <row r="29">
      <c r="A29" s="40" t="inlineStr">
        <is>
          <t>Sulawesi Tengah</t>
        </is>
      </c>
      <c r="B29" s="40" t="n">
        <v>2024</v>
      </c>
      <c r="C29" s="41" t="n">
        <v>-0.9003</v>
      </c>
      <c r="D29" s="41" t="n">
        <v>119.8779</v>
      </c>
      <c r="E29" s="42" t="inlineStr">
        <is>
          <t>Palu</t>
        </is>
      </c>
      <c r="F29" s="43" t="n">
        <v>0.7246867464203008</v>
      </c>
      <c r="G29" s="42" t="inlineStr">
        <is>
          <t>Titik representatif (umumnya ibu kota); bukan batas poligon atau piksel NDVI.</t>
        </is>
      </c>
    </row>
    <row r="30">
      <c r="A30" s="36" t="inlineStr">
        <is>
          <t>Sulawesi Tenggara</t>
        </is>
      </c>
      <c r="B30" s="36" t="n">
        <v>2024</v>
      </c>
      <c r="C30" s="37" t="n">
        <v>-3.9985</v>
      </c>
      <c r="D30" s="37" t="n">
        <v>122.5129</v>
      </c>
      <c r="E30" s="38" t="inlineStr">
        <is>
          <t>Kendari</t>
        </is>
      </c>
      <c r="F30" s="39" t="n">
        <v>0.7150214503272923</v>
      </c>
      <c r="G30" s="38" t="inlineStr">
        <is>
          <t>Titik representatif (umumnya ibu kota); bukan batas poligon atau piksel NDVI.</t>
        </is>
      </c>
    </row>
    <row r="31">
      <c r="A31" s="40" t="inlineStr">
        <is>
          <t>Sulawesi Utara</t>
        </is>
      </c>
      <c r="B31" s="40" t="n">
        <v>2024</v>
      </c>
      <c r="C31" s="41" t="n">
        <v>1.4748</v>
      </c>
      <c r="D31" s="41" t="n">
        <v>124.8421</v>
      </c>
      <c r="E31" s="42" t="inlineStr">
        <is>
          <t>Manado</t>
        </is>
      </c>
      <c r="F31" s="43" t="n">
        <v>0.7594566910219366</v>
      </c>
      <c r="G31" s="42" t="inlineStr">
        <is>
          <t>Titik representatif (umumnya ibu kota); bukan batas poligon atau piksel NDVI.</t>
        </is>
      </c>
    </row>
    <row r="32">
      <c r="A32" s="36" t="inlineStr">
        <is>
          <t>Sumatera Barat</t>
        </is>
      </c>
      <c r="B32" s="36" t="n">
        <v>2024</v>
      </c>
      <c r="C32" s="37" t="n">
        <v>-0.9471000000000001</v>
      </c>
      <c r="D32" s="37" t="n">
        <v>100.4172</v>
      </c>
      <c r="E32" s="38" t="inlineStr">
        <is>
          <t>Padang</t>
        </is>
      </c>
      <c r="F32" s="39" t="n">
        <v>0.7074059158423667</v>
      </c>
      <c r="G32" s="38" t="inlineStr">
        <is>
          <t>Titik representatif (umumnya ibu kota); bukan batas poligon atau piksel NDVI.</t>
        </is>
      </c>
    </row>
    <row r="33">
      <c r="A33" s="40" t="inlineStr">
        <is>
          <t>Sumatera Selatan</t>
        </is>
      </c>
      <c r="B33" s="40" t="n">
        <v>2024</v>
      </c>
      <c r="C33" s="41" t="n">
        <v>-2.9761</v>
      </c>
      <c r="D33" s="41" t="n">
        <v>104.7754</v>
      </c>
      <c r="E33" s="42" t="inlineStr">
        <is>
          <t>Palembang</t>
        </is>
      </c>
      <c r="F33" s="43" t="n">
        <v>0.6836575800042529</v>
      </c>
      <c r="G33" s="42" t="inlineStr">
        <is>
          <t>Titik representatif (umumnya ibu kota); bukan batas poligon atau piksel NDVI.</t>
        </is>
      </c>
    </row>
    <row r="34">
      <c r="A34" s="36" t="inlineStr">
        <is>
          <t>Sumatera Utara</t>
        </is>
      </c>
      <c r="B34" s="36" t="n">
        <v>2024</v>
      </c>
      <c r="C34" s="37" t="n">
        <v>3.5952</v>
      </c>
      <c r="D34" s="37" t="n">
        <v>98.6722</v>
      </c>
      <c r="E34" s="38" t="inlineStr">
        <is>
          <t>Medan</t>
        </is>
      </c>
      <c r="F34" s="39" t="n">
        <v>0.7162451791456326</v>
      </c>
      <c r="G34" s="38" t="inlineStr">
        <is>
          <t>Titik representatif (umumnya ibu kota); bukan batas poligon atau piksel NDVI.</t>
        </is>
      </c>
    </row>
    <row r="35">
      <c r="A35" s="40" t="inlineStr">
        <is>
          <t>Yogyakarta</t>
        </is>
      </c>
      <c r="B35" s="40" t="n">
        <v>2024</v>
      </c>
      <c r="C35" s="41" t="n">
        <v>-7.7956</v>
      </c>
      <c r="D35" s="41" t="n">
        <v>110.3695</v>
      </c>
      <c r="E35" s="42" t="inlineStr">
        <is>
          <t>Yogyakarta</t>
        </is>
      </c>
      <c r="F35" s="43" t="n">
        <v>0.6353429277360516</v>
      </c>
      <c r="G35" s="42" t="inlineStr">
        <is>
          <t>Titik representatif (umumnya ibu kota); bukan batas poligon atau piksel NDVI.</t>
        </is>
      </c>
    </row>
  </sheetData>
  <autoFilter ref="A1:G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2026-10-27T16:01:55Z</dcterms:created>
  <dcterms:modified xmlns:dcterms="http://purl.org/dc/terms/" xmlns:xsi="http://www.w3.org/2001/XMLSchema-instance" xsi:type="dcterms:W3CDTF">2026-10-27T16:05:32Z</dcterms:modified>
</cp:coreProperties>
</file>